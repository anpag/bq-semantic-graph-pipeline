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<sst xmlns="http://schemas.openxmlformats.org/spreadsheetml/2006/main" count="125" uniqueCount="84">
  <si>
    <t>Project</t>
  </si>
  <si>
    <t>FlyHigh Gloo</t>
  </si>
  <si>
    <t>Adhesives Class</t>
  </si>
  <si>
    <t>Toughened, Amine-Cured Epoxy</t>
  </si>
  <si>
    <t>Ingredient Class</t>
  </si>
  <si>
    <t>Ingredient</t>
  </si>
  <si>
    <t>FH-001</t>
  </si>
  <si>
    <t>FH-002</t>
  </si>
  <si>
    <t>FH-003</t>
  </si>
  <si>
    <t>Base Epoxy Resin</t>
  </si>
  <si>
    <t>Bisphenol A diglycidyl ether (DGEBA)</t>
  </si>
  <si>
    <t>Toughening Agent</t>
  </si>
  <si>
    <t>Carboxyl-terminated butadiene nitrile rubber</t>
  </si>
  <si>
    <t>Reactive Diluent</t>
  </si>
  <si>
    <t>C12-C14 Glycidyl ether</t>
  </si>
  <si>
    <t>Reinforcing Filler</t>
  </si>
  <si>
    <t>Alumina Trihydrate</t>
  </si>
  <si>
    <t>**CHECK</t>
  </si>
  <si>
    <t>Primary Curing Agent</t>
  </si>
  <si>
    <t>Polyamidoamines</t>
  </si>
  <si>
    <t>Cure Accelerator</t>
  </si>
  <si>
    <t>DMP-30</t>
  </si>
  <si>
    <t>Adhesion Promoter</t>
  </si>
  <si>
    <t>Epoxy-silane</t>
  </si>
  <si>
    <t>Fillers</t>
  </si>
  <si>
    <t>Calcium carbonate</t>
  </si>
  <si>
    <t>Pigments</t>
  </si>
  <si>
    <t>Carbon black</t>
  </si>
  <si>
    <t>Test</t>
  </si>
  <si>
    <t>Lap Shear Strength Test (ASTM D3165)</t>
  </si>
  <si>
    <t>Measurement</t>
  </si>
  <si>
    <t>Tensile Lap Shear</t>
  </si>
  <si>
    <t>Fixed Parameters</t>
  </si>
  <si>
    <t>Test Material Spec</t>
  </si>
  <si>
    <t>Airbus Winglet Material #314159</t>
  </si>
  <si>
    <t>Solvent Degrease</t>
  </si>
  <si>
    <t>Acetone</t>
  </si>
  <si>
    <t>Initial Abrasion</t>
  </si>
  <si>
    <t>Sandpaper Abrasion Method #007</t>
  </si>
  <si>
    <t>Humidity</t>
  </si>
  <si>
    <t>Variable Parameter</t>
  </si>
  <si>
    <t>Temperature</t>
  </si>
  <si>
    <t>80 Celsius</t>
  </si>
  <si>
    <t>33 MPa, Cohesive Failure</t>
  </si>
  <si>
    <t>34 MPa, Cohesive Failure</t>
  </si>
  <si>
    <t>35 MPa, Cohesive Failure</t>
  </si>
  <si>
    <t>20 Celsius</t>
  </si>
  <si>
    <t>28 MPa, Adhesive Failure</t>
  </si>
  <si>
    <t>29 MPa, Cohesive Failure</t>
  </si>
  <si>
    <t>30 MPa, Cohesive Failure</t>
  </si>
  <si>
    <t>-55 Celsius</t>
  </si>
  <si>
    <t>23 MPa, Adhesive Failure</t>
  </si>
  <si>
    <t>24 MPa, Adhesive Failure</t>
  </si>
  <si>
    <t>25 MPa, Cohesive Failure</t>
  </si>
  <si>
    <t>Floating Roller Peel Test (ASTM D3167)</t>
  </si>
  <si>
    <t>Floating Roller Peel</t>
  </si>
  <si>
    <t>50N/25mm</t>
  </si>
  <si>
    <t>60N/25mm</t>
  </si>
  <si>
    <t>70N/25mm</t>
  </si>
  <si>
    <t>80N/25mm</t>
  </si>
  <si>
    <t>90N/25mm</t>
  </si>
  <si>
    <t>15N/25mm</t>
  </si>
  <si>
    <t>25N/25mm</t>
  </si>
  <si>
    <t>35N/25mm</t>
  </si>
  <si>
    <t>Fatigue Resistance Test (ASTM D3166)</t>
  </si>
  <si>
    <t>Exhaustion Cycles</t>
  </si>
  <si>
    <t>Stress Level</t>
  </si>
  <si>
    <t>7 MPa</t>
  </si>
  <si>
    <t>Apply a cyclic load equal to 25-30% of the maximum lap shear strength</t>
  </si>
  <si>
    <t>Cyclic Frequency</t>
  </si>
  <si>
    <t>10 Hz</t>
  </si>
  <si>
    <t>5M cycles</t>
  </si>
  <si>
    <t>7M cycles</t>
  </si>
  <si>
    <t>10M cycles</t>
  </si>
  <si>
    <t>15 Hz</t>
  </si>
  <si>
    <t>4M cycles</t>
  </si>
  <si>
    <t>6M cycles</t>
  </si>
  <si>
    <t>8M cycles</t>
  </si>
  <si>
    <t>20 Hz</t>
  </si>
  <si>
    <t>3M cycles</t>
  </si>
  <si>
    <t>25 Hz</t>
  </si>
  <si>
    <t>2M cycles</t>
  </si>
  <si>
    <t>30 Hz</t>
  </si>
  <si>
    <t>1M cycles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</si>
</sst>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b/>
      <sz val="10.0"/>
      <color rgb="FF1F1F1F"/>
      <name val="Google Sans"/>
    </font>
    <font>
      <sz val="10.0"/>
      <color theme="1"/>
      <name val="Google Sans"/>
    </font>
    <font>
      <b/>
      <color rgb="FF1F1F1F"/>
      <name val="Google Sans"/>
    </font>
    <font>
      <color rgb="FF1F1F1F"/>
      <name val="Google Sans"/>
    </font>
    <font>
      <color theme="1"/>
      <name val="Arial"/>
    </font>
    <font>
      <sz val="10.0"/>
      <color rgb="FF1F1F1F"/>
      <name val="Google Sans"/>
    </font>
    <font>
      <sz val="10.0"/>
      <color rgb="FFFF00FF"/>
      <name val="Google Sans"/>
    </font>
    <font>
      <b/>
      <sz val="10.0"/>
      <color theme="1"/>
      <name val="Google Sans"/>
    </font>
    <font>
      <color theme="1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164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2" numFmtId="9" xfId="0" applyAlignment="1" applyFont="1" applyNumberForma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7.13"/>
    <col customWidth="1" min="3" max="3" width="20.88"/>
    <col customWidth="1" min="4" max="4" width="19.88"/>
    <col customWidth="1" min="5" max="5" width="20.38"/>
  </cols>
  <sheetData>
    <row r="1">
      <c r="A1" s="1" t="s">
        <v>0</v>
      </c>
      <c r="B1" s="1" t="s">
        <v>1</v>
      </c>
      <c r="C1" s="2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2</v>
      </c>
      <c r="B2" s="5" t="s">
        <v>3</v>
      </c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/>
      <c r="B3" s="8"/>
      <c r="C3" s="8"/>
      <c r="D3" s="8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9" t="s">
        <v>9</v>
      </c>
      <c r="B5" s="10" t="s">
        <v>10</v>
      </c>
      <c r="C5" s="11">
        <v>0.65</v>
      </c>
      <c r="D5" s="11">
        <v>0.67</v>
      </c>
      <c r="E5" s="11">
        <v>0.7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9" t="s">
        <v>11</v>
      </c>
      <c r="B6" s="10" t="s">
        <v>12</v>
      </c>
      <c r="C6" s="11">
        <v>0.16</v>
      </c>
      <c r="D6" s="11">
        <v>0.14</v>
      </c>
      <c r="E6" s="11">
        <v>0.1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9" t="s">
        <v>13</v>
      </c>
      <c r="B7" s="10" t="s">
        <v>14</v>
      </c>
      <c r="C7" s="11">
        <v>0.11</v>
      </c>
      <c r="D7" s="11">
        <v>0.09</v>
      </c>
      <c r="E7" s="11">
        <v>0.08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9" t="s">
        <v>15</v>
      </c>
      <c r="B8" s="9" t="s">
        <v>16</v>
      </c>
      <c r="C8" s="12">
        <v>0.08</v>
      </c>
      <c r="D8" s="12">
        <v>0.1</v>
      </c>
      <c r="E8" s="12">
        <v>0.12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3" t="s">
        <v>17</v>
      </c>
      <c r="B9" s="14"/>
      <c r="C9" s="15">
        <f t="shared" ref="C9:E9" si="1">SUM(C5:C8)</f>
        <v>1</v>
      </c>
      <c r="D9" s="15">
        <f t="shared" si="1"/>
        <v>1</v>
      </c>
      <c r="E9" s="15">
        <f t="shared" si="1"/>
        <v>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6" t="s">
        <v>18</v>
      </c>
      <c r="B10" s="9" t="s">
        <v>19</v>
      </c>
      <c r="C10" s="12">
        <v>0.73</v>
      </c>
      <c r="D10" s="12">
        <v>0.75</v>
      </c>
      <c r="E10" s="12">
        <v>0.8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6" t="s">
        <v>20</v>
      </c>
      <c r="B11" s="9" t="s">
        <v>21</v>
      </c>
      <c r="C11" s="12">
        <v>0.05</v>
      </c>
      <c r="D11" s="12">
        <v>0.04</v>
      </c>
      <c r="E11" s="12">
        <v>0.02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6" t="s">
        <v>22</v>
      </c>
      <c r="B12" s="9" t="s">
        <v>23</v>
      </c>
      <c r="C12" s="12">
        <v>0.02</v>
      </c>
      <c r="D12" s="12">
        <v>0.03</v>
      </c>
      <c r="E12" s="12">
        <v>0.04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6" t="s">
        <v>24</v>
      </c>
      <c r="B13" s="9" t="s">
        <v>25</v>
      </c>
      <c r="C13" s="12">
        <v>0.05</v>
      </c>
      <c r="D13" s="12">
        <v>0.06</v>
      </c>
      <c r="E13" s="12">
        <v>0.07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9" t="s">
        <v>26</v>
      </c>
      <c r="B14" s="9" t="s">
        <v>27</v>
      </c>
      <c r="C14" s="12">
        <v>0.15</v>
      </c>
      <c r="D14" s="12">
        <v>0.12</v>
      </c>
      <c r="E14" s="12">
        <v>0.07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3" t="s">
        <v>17</v>
      </c>
      <c r="B15" s="14"/>
      <c r="C15" s="15">
        <f t="shared" ref="C15:E15" si="2">SUM(C10:C14)</f>
        <v>1</v>
      </c>
      <c r="D15" s="15">
        <f t="shared" si="2"/>
        <v>1</v>
      </c>
      <c r="E15" s="15">
        <f t="shared" si="2"/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9"/>
      <c r="B16" s="17"/>
      <c r="C16" s="17"/>
      <c r="D16" s="17"/>
      <c r="E16" s="1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8" t="s">
        <v>28</v>
      </c>
      <c r="B17" s="19" t="s">
        <v>29</v>
      </c>
      <c r="C17" s="20"/>
      <c r="D17" s="20"/>
      <c r="E17" s="2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21" t="s">
        <v>30</v>
      </c>
      <c r="B18" s="9" t="s">
        <v>31</v>
      </c>
      <c r="C18" s="17"/>
      <c r="D18" s="17"/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21"/>
      <c r="B19" s="17"/>
      <c r="C19" s="17"/>
      <c r="D19" s="17"/>
      <c r="E19" s="1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21" t="s">
        <v>32</v>
      </c>
      <c r="B20" s="17"/>
      <c r="C20" s="17"/>
      <c r="D20" s="17"/>
      <c r="E20" s="1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2" t="s">
        <v>33</v>
      </c>
      <c r="B21" s="9" t="s">
        <v>34</v>
      </c>
      <c r="C21" s="17"/>
      <c r="D21" s="17"/>
      <c r="E21" s="1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2" t="s">
        <v>35</v>
      </c>
      <c r="B22" s="9" t="s">
        <v>36</v>
      </c>
      <c r="C22" s="17"/>
      <c r="D22" s="17"/>
      <c r="E22" s="1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2" t="s">
        <v>37</v>
      </c>
      <c r="B23" s="9" t="s">
        <v>38</v>
      </c>
      <c r="C23" s="17"/>
      <c r="D23" s="17"/>
      <c r="E23" s="1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9" t="s">
        <v>39</v>
      </c>
      <c r="B24" s="23">
        <v>0.5</v>
      </c>
      <c r="C24" s="17"/>
      <c r="D24" s="17"/>
      <c r="E24" s="1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7"/>
      <c r="B25" s="17"/>
      <c r="C25" s="9"/>
      <c r="D25" s="17"/>
      <c r="E25" s="1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21" t="s">
        <v>40</v>
      </c>
      <c r="B26" s="17"/>
      <c r="C26" s="9"/>
      <c r="D26" s="17"/>
      <c r="E26" s="1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" t="s">
        <v>41</v>
      </c>
      <c r="B27" s="9" t="s">
        <v>42</v>
      </c>
      <c r="C27" s="24" t="s">
        <v>43</v>
      </c>
      <c r="D27" s="24" t="s">
        <v>44</v>
      </c>
      <c r="E27" s="24" t="s">
        <v>45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9" t="s">
        <v>41</v>
      </c>
      <c r="B28" s="9" t="s">
        <v>46</v>
      </c>
      <c r="C28" s="24" t="s">
        <v>47</v>
      </c>
      <c r="D28" s="24" t="s">
        <v>48</v>
      </c>
      <c r="E28" s="24" t="s">
        <v>49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9" t="s">
        <v>41</v>
      </c>
      <c r="B29" s="9" t="s">
        <v>50</v>
      </c>
      <c r="C29" s="24" t="s">
        <v>51</v>
      </c>
      <c r="D29" s="24" t="s">
        <v>52</v>
      </c>
      <c r="E29" s="24" t="s">
        <v>53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21"/>
      <c r="B30" s="17"/>
      <c r="C30" s="17"/>
      <c r="D30" s="17"/>
      <c r="E30" s="1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8" t="s">
        <v>28</v>
      </c>
      <c r="B31" s="19" t="s">
        <v>54</v>
      </c>
      <c r="C31" s="20"/>
      <c r="D31" s="20"/>
      <c r="E31" s="2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21" t="s">
        <v>30</v>
      </c>
      <c r="B32" s="9" t="s">
        <v>55</v>
      </c>
      <c r="C32" s="17"/>
      <c r="D32" s="17"/>
      <c r="E32" s="1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21"/>
      <c r="B33" s="17"/>
      <c r="C33" s="17"/>
      <c r="D33" s="17"/>
      <c r="E33" s="1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 t="s">
        <v>32</v>
      </c>
      <c r="B34" s="17"/>
      <c r="C34" s="17"/>
      <c r="D34" s="17"/>
      <c r="E34" s="1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2" t="s">
        <v>33</v>
      </c>
      <c r="B35" s="9" t="s">
        <v>34</v>
      </c>
      <c r="C35" s="17"/>
      <c r="D35" s="17"/>
      <c r="E35" s="1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2" t="s">
        <v>35</v>
      </c>
      <c r="B36" s="9" t="s">
        <v>36</v>
      </c>
      <c r="C36" s="17"/>
      <c r="D36" s="17"/>
      <c r="E36" s="1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2" t="s">
        <v>37</v>
      </c>
      <c r="B37" s="9" t="s">
        <v>38</v>
      </c>
      <c r="C37" s="17"/>
      <c r="D37" s="17"/>
      <c r="E37" s="1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" t="s">
        <v>39</v>
      </c>
      <c r="B38" s="23">
        <v>0.5</v>
      </c>
      <c r="C38" s="17"/>
      <c r="D38" s="17"/>
      <c r="E38" s="1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7"/>
      <c r="B39" s="17"/>
      <c r="C39" s="17"/>
      <c r="D39" s="17"/>
      <c r="E39" s="1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1" t="s">
        <v>40</v>
      </c>
      <c r="B40" s="17"/>
      <c r="C40" s="17"/>
      <c r="D40" s="17"/>
      <c r="E40" s="1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9" t="s">
        <v>41</v>
      </c>
      <c r="B41" s="9" t="s">
        <v>42</v>
      </c>
      <c r="C41" s="9" t="s">
        <v>56</v>
      </c>
      <c r="D41" s="9" t="s">
        <v>57</v>
      </c>
      <c r="E41" s="9" t="s">
        <v>58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9" t="s">
        <v>41</v>
      </c>
      <c r="B42" s="9" t="s">
        <v>46</v>
      </c>
      <c r="C42" s="9" t="s">
        <v>58</v>
      </c>
      <c r="D42" s="9" t="s">
        <v>59</v>
      </c>
      <c r="E42" s="9" t="s">
        <v>60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9" t="s">
        <v>41</v>
      </c>
      <c r="B43" s="9" t="s">
        <v>50</v>
      </c>
      <c r="C43" s="9" t="s">
        <v>61</v>
      </c>
      <c r="D43" s="9" t="s">
        <v>62</v>
      </c>
      <c r="E43" s="9" t="s">
        <v>63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8" t="s">
        <v>28</v>
      </c>
      <c r="B45" s="19" t="s">
        <v>64</v>
      </c>
      <c r="C45" s="20"/>
      <c r="D45" s="20"/>
      <c r="E45" s="2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1" t="s">
        <v>30</v>
      </c>
      <c r="B46" s="9" t="s">
        <v>65</v>
      </c>
      <c r="C46" s="17"/>
      <c r="D46" s="17"/>
      <c r="E46" s="1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1"/>
      <c r="B47" s="17"/>
      <c r="C47" s="17"/>
      <c r="D47" s="17"/>
      <c r="E47" s="1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1" t="s">
        <v>32</v>
      </c>
      <c r="B48" s="17"/>
      <c r="C48" s="17"/>
      <c r="D48" s="17"/>
      <c r="E48" s="1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2" t="s">
        <v>33</v>
      </c>
      <c r="B49" s="9" t="s">
        <v>34</v>
      </c>
      <c r="C49" s="17"/>
      <c r="D49" s="17"/>
      <c r="E49" s="1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2" t="s">
        <v>35</v>
      </c>
      <c r="B50" s="9" t="s">
        <v>36</v>
      </c>
      <c r="C50" s="17"/>
      <c r="D50" s="17"/>
      <c r="E50" s="1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2" t="s">
        <v>37</v>
      </c>
      <c r="B51" s="9" t="s">
        <v>38</v>
      </c>
      <c r="C51" s="17"/>
      <c r="D51" s="17"/>
      <c r="E51" s="1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9" t="s">
        <v>66</v>
      </c>
      <c r="B52" s="9" t="s">
        <v>67</v>
      </c>
      <c r="C52" s="9" t="s">
        <v>68</v>
      </c>
      <c r="D52" s="17"/>
      <c r="E52" s="1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7"/>
      <c r="B53" s="17"/>
      <c r="C53" s="17"/>
      <c r="D53" s="17"/>
      <c r="E53" s="1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1" t="s">
        <v>40</v>
      </c>
      <c r="B54" s="17"/>
      <c r="C54" s="17"/>
      <c r="D54" s="17"/>
      <c r="E54" s="1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9" t="s">
        <v>69</v>
      </c>
      <c r="B55" s="9" t="s">
        <v>70</v>
      </c>
      <c r="C55" s="9" t="s">
        <v>71</v>
      </c>
      <c r="D55" s="9" t="s">
        <v>72</v>
      </c>
      <c r="E55" s="9" t="s">
        <v>73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9" t="s">
        <v>69</v>
      </c>
      <c r="B56" s="9" t="s">
        <v>74</v>
      </c>
      <c r="C56" s="9" t="s">
        <v>75</v>
      </c>
      <c r="D56" s="9" t="s">
        <v>76</v>
      </c>
      <c r="E56" s="9" t="s">
        <v>77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9" t="s">
        <v>69</v>
      </c>
      <c r="B57" s="9" t="s">
        <v>78</v>
      </c>
      <c r="C57" s="9" t="s">
        <v>79</v>
      </c>
      <c r="D57" s="9" t="s">
        <v>71</v>
      </c>
      <c r="E57" s="9" t="s">
        <v>76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9" t="s">
        <v>69</v>
      </c>
      <c r="B58" s="9" t="s">
        <v>80</v>
      </c>
      <c r="C58" s="9" t="s">
        <v>81</v>
      </c>
      <c r="D58" s="9" t="s">
        <v>75</v>
      </c>
      <c r="E58" s="9" t="s">
        <v>75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9" t="s">
        <v>69</v>
      </c>
      <c r="B59" s="9" t="s">
        <v>82</v>
      </c>
      <c r="C59" s="9" t="s">
        <v>83</v>
      </c>
      <c r="D59" s="9" t="s">
        <v>79</v>
      </c>
      <c r="E59" s="9" t="s">
        <v>81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</sheetData>
  <drawing r:id="rId1"/>
</worksheet>
</file>